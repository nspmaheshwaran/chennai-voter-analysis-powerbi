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622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20" i="1" l="1"/>
  <c r="M19" i="1"/>
  <c r="I21" i="1"/>
  <c r="I20" i="1"/>
  <c r="I1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E2" i="1"/>
</calcChain>
</file>

<file path=xl/sharedStrings.xml><?xml version="1.0" encoding="utf-8"?>
<sst xmlns="http://schemas.openxmlformats.org/spreadsheetml/2006/main" count="29" uniqueCount="27">
  <si>
    <t>MALE</t>
  </si>
  <si>
    <t xml:space="preserve">FEMALE </t>
  </si>
  <si>
    <t>OTHERS</t>
  </si>
  <si>
    <t>TOTAL</t>
  </si>
  <si>
    <t>Dr. RK Nagar</t>
  </si>
  <si>
    <t>Perambur</t>
  </si>
  <si>
    <t>Kolathur</t>
  </si>
  <si>
    <t>Villivakkam</t>
  </si>
  <si>
    <t>Egmore</t>
  </si>
  <si>
    <t>Harbour</t>
  </si>
  <si>
    <t>Chepauk</t>
  </si>
  <si>
    <t>Thousand lights</t>
  </si>
  <si>
    <t>Anna Nagar</t>
  </si>
  <si>
    <t>Virugampakkam</t>
  </si>
  <si>
    <t>T. Nagar</t>
  </si>
  <si>
    <t>Saidapet</t>
  </si>
  <si>
    <t>Velachery</t>
  </si>
  <si>
    <t>Mylapore</t>
  </si>
  <si>
    <t>Thiruvika Nagar</t>
  </si>
  <si>
    <t>SUMMARY</t>
  </si>
  <si>
    <t>Male</t>
  </si>
  <si>
    <t>Female</t>
  </si>
  <si>
    <t>Others</t>
  </si>
  <si>
    <t>Highest</t>
  </si>
  <si>
    <t>Lowest</t>
  </si>
  <si>
    <t>CONSTITUENCY</t>
  </si>
  <si>
    <t>Royapuram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</si>
</sst>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J9" sqref="J9"/>
    </sheetView>
  </sheetViews>
  <sheetFormatPr defaultRowHeight="15" x14ac:dyDescent="0.25"/>
  <cols>
    <col min="1" max="1" width="15.5703125" customWidth="1"/>
    <col min="8" max="8" width="9.85546875" customWidth="1"/>
    <col min="12" max="12" width="9.42578125" customWidth="1"/>
  </cols>
  <sheetData>
    <row r="1" spans="1:5" x14ac:dyDescent="0.25">
      <c r="A1" s="2" t="s">
        <v>25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3" t="s">
        <v>4</v>
      </c>
      <c r="B2" s="3">
        <v>93576</v>
      </c>
      <c r="C2" s="3">
        <v>102201</v>
      </c>
      <c r="D2" s="3">
        <v>79</v>
      </c>
      <c r="E2" s="3">
        <f>SUM(B2:D2)</f>
        <v>195856</v>
      </c>
    </row>
    <row r="3" spans="1:5" x14ac:dyDescent="0.25">
      <c r="A3" s="3" t="s">
        <v>5</v>
      </c>
      <c r="B3" s="3">
        <v>107995</v>
      </c>
      <c r="C3" s="3">
        <v>114726</v>
      </c>
      <c r="D3" s="3">
        <v>71</v>
      </c>
      <c r="E3" s="3">
        <f>SUM(B3:D3)</f>
        <v>222792</v>
      </c>
    </row>
    <row r="4" spans="1:5" x14ac:dyDescent="0.25">
      <c r="A4" s="3" t="s">
        <v>6</v>
      </c>
      <c r="B4" s="3">
        <v>99607</v>
      </c>
      <c r="C4" s="3">
        <v>107607</v>
      </c>
      <c r="D4" s="3">
        <v>37</v>
      </c>
      <c r="E4" s="3">
        <f t="shared" ref="E4:E17" si="0">SUM(B4:D4)</f>
        <v>207251</v>
      </c>
    </row>
    <row r="5" spans="1:5" x14ac:dyDescent="0.25">
      <c r="A5" s="3" t="s">
        <v>7</v>
      </c>
      <c r="B5" s="3">
        <v>76947</v>
      </c>
      <c r="C5" s="3">
        <v>82785</v>
      </c>
      <c r="D5" s="3">
        <v>32</v>
      </c>
      <c r="E5" s="3">
        <f t="shared" si="0"/>
        <v>159764</v>
      </c>
    </row>
    <row r="6" spans="1:5" x14ac:dyDescent="0.25">
      <c r="A6" s="3" t="s">
        <v>18</v>
      </c>
      <c r="B6" s="3">
        <v>85724</v>
      </c>
      <c r="C6" s="3">
        <v>93008</v>
      </c>
      <c r="D6" s="3">
        <v>61</v>
      </c>
      <c r="E6" s="3">
        <f t="shared" si="0"/>
        <v>178793</v>
      </c>
    </row>
    <row r="7" spans="1:5" x14ac:dyDescent="0.25">
      <c r="A7" s="3" t="s">
        <v>8</v>
      </c>
      <c r="B7" s="3">
        <v>65677</v>
      </c>
      <c r="C7" s="3">
        <v>69149</v>
      </c>
      <c r="D7" s="3">
        <v>53</v>
      </c>
      <c r="E7" s="3">
        <f t="shared" si="0"/>
        <v>134879</v>
      </c>
    </row>
    <row r="8" spans="1:5" x14ac:dyDescent="0.25">
      <c r="A8" s="3" t="s">
        <v>26</v>
      </c>
      <c r="B8" s="3">
        <v>75870</v>
      </c>
      <c r="C8" s="3">
        <v>81004</v>
      </c>
      <c r="D8" s="3">
        <v>57</v>
      </c>
      <c r="E8" s="3">
        <f t="shared" si="0"/>
        <v>156931</v>
      </c>
    </row>
    <row r="9" spans="1:5" x14ac:dyDescent="0.25">
      <c r="A9" s="3" t="s">
        <v>9</v>
      </c>
      <c r="B9" s="3">
        <v>58221</v>
      </c>
      <c r="C9" s="3">
        <v>58620</v>
      </c>
      <c r="D9" s="3">
        <v>55</v>
      </c>
      <c r="E9" s="3">
        <f t="shared" si="0"/>
        <v>116896</v>
      </c>
    </row>
    <row r="10" spans="1:5" x14ac:dyDescent="0.25">
      <c r="A10" s="3" t="s">
        <v>10</v>
      </c>
      <c r="B10" s="3">
        <v>79412</v>
      </c>
      <c r="C10" s="3">
        <v>84396</v>
      </c>
      <c r="D10" s="3">
        <v>58</v>
      </c>
      <c r="E10" s="3">
        <f t="shared" si="0"/>
        <v>163866</v>
      </c>
    </row>
    <row r="11" spans="1:5" x14ac:dyDescent="0.25">
      <c r="A11" s="3" t="s">
        <v>11</v>
      </c>
      <c r="B11" s="3">
        <v>73500</v>
      </c>
      <c r="C11" s="3">
        <v>80343</v>
      </c>
      <c r="D11" s="3">
        <v>65</v>
      </c>
      <c r="E11" s="3">
        <f t="shared" si="0"/>
        <v>153908</v>
      </c>
    </row>
    <row r="12" spans="1:5" x14ac:dyDescent="0.25">
      <c r="A12" s="3" t="s">
        <v>12</v>
      </c>
      <c r="B12" s="3">
        <v>87325</v>
      </c>
      <c r="C12" s="3">
        <v>94029</v>
      </c>
      <c r="D12" s="3">
        <v>48</v>
      </c>
      <c r="E12" s="3">
        <f t="shared" si="0"/>
        <v>181402</v>
      </c>
    </row>
    <row r="13" spans="1:5" x14ac:dyDescent="0.25">
      <c r="A13" s="3" t="s">
        <v>13</v>
      </c>
      <c r="B13" s="3">
        <v>95025</v>
      </c>
      <c r="C13" s="3">
        <v>101461</v>
      </c>
      <c r="D13" s="3">
        <v>50</v>
      </c>
      <c r="E13" s="3">
        <f t="shared" si="0"/>
        <v>196536</v>
      </c>
    </row>
    <row r="14" spans="1:5" x14ac:dyDescent="0.25">
      <c r="A14" s="3" t="s">
        <v>14</v>
      </c>
      <c r="B14" s="3">
        <v>96950</v>
      </c>
      <c r="C14" s="3">
        <v>103685</v>
      </c>
      <c r="D14" s="3">
        <v>62</v>
      </c>
      <c r="E14" s="3">
        <f t="shared" si="0"/>
        <v>200697</v>
      </c>
    </row>
    <row r="15" spans="1:5" x14ac:dyDescent="0.25">
      <c r="A15" s="3" t="s">
        <v>15</v>
      </c>
      <c r="B15" s="3">
        <v>74682</v>
      </c>
      <c r="C15" s="3">
        <v>80228</v>
      </c>
      <c r="D15" s="3">
        <v>33</v>
      </c>
      <c r="E15" s="3">
        <f t="shared" si="0"/>
        <v>154943</v>
      </c>
    </row>
    <row r="16" spans="1:5" x14ac:dyDescent="0.25">
      <c r="A16" s="3" t="s">
        <v>17</v>
      </c>
      <c r="B16" s="3">
        <v>93017</v>
      </c>
      <c r="C16" s="3">
        <v>101691</v>
      </c>
      <c r="D16" s="3">
        <v>23</v>
      </c>
      <c r="E16" s="3">
        <f t="shared" si="0"/>
        <v>194731</v>
      </c>
    </row>
    <row r="17" spans="1:13" ht="15.75" thickBot="1" x14ac:dyDescent="0.3">
      <c r="A17" s="3" t="s">
        <v>16</v>
      </c>
      <c r="B17" s="3">
        <v>102235</v>
      </c>
      <c r="C17" s="3">
        <v>109411</v>
      </c>
      <c r="D17" s="3">
        <v>45</v>
      </c>
      <c r="E17" s="3">
        <f t="shared" si="0"/>
        <v>211691</v>
      </c>
    </row>
    <row r="18" spans="1:13" ht="15.75" thickBot="1" x14ac:dyDescent="0.3">
      <c r="H18" s="6" t="s">
        <v>19</v>
      </c>
      <c r="I18" s="1"/>
      <c r="J18" s="1"/>
      <c r="K18" s="1"/>
      <c r="L18" s="1"/>
      <c r="M18" s="1"/>
    </row>
    <row r="19" spans="1:13" x14ac:dyDescent="0.25">
      <c r="H19" s="5" t="s">
        <v>20</v>
      </c>
      <c r="I19" s="3">
        <f>SUM(B2:B17)</f>
        <v>1365763</v>
      </c>
      <c r="J19" s="3"/>
      <c r="K19" s="4" t="s">
        <v>23</v>
      </c>
      <c r="L19" s="3" t="s">
        <v>5</v>
      </c>
      <c r="M19" s="3">
        <f xml:space="preserve"> E3</f>
        <v>222792</v>
      </c>
    </row>
    <row r="20" spans="1:13" x14ac:dyDescent="0.25">
      <c r="H20" s="4" t="s">
        <v>21</v>
      </c>
      <c r="I20" s="3">
        <f>SUM(C2:C17)</f>
        <v>1464344</v>
      </c>
      <c r="J20" s="3"/>
      <c r="K20" s="4" t="s">
        <v>24</v>
      </c>
      <c r="L20" s="3" t="s">
        <v>9</v>
      </c>
      <c r="M20" s="3">
        <f>E9</f>
        <v>116896</v>
      </c>
    </row>
    <row r="21" spans="1:13" x14ac:dyDescent="0.25">
      <c r="H21" s="4" t="s">
        <v>22</v>
      </c>
      <c r="I21" s="3">
        <f>SUM(D2:D17)</f>
        <v>829</v>
      </c>
      <c r="J21" s="3"/>
      <c r="K21" s="3"/>
      <c r="L21" s="3"/>
      <c r="M2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Pandian</dc:creator>
  <cp:lastModifiedBy>Pandian</cp:lastModifiedBy>
  <dcterms:created xsi:type="dcterms:W3CDTF">2026-05-12T13:43:12Z</dcterms:created>
  <dcterms:modified xsi:type="dcterms:W3CDTF">2026-05-14T17:14:10Z</dcterms:modified>
</cp:coreProperties>
</file>